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Station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Type" sheetId="5" state="visible" r:id="rId5"/>
    <sheet xmlns:r="http://schemas.openxmlformats.org/officeDocument/2006/relationships" name="Department" sheetId="6" state="visible" r:id="rId6"/>
    <sheet xmlns:r="http://schemas.openxmlformats.org/officeDocument/2006/relationships" name="Month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mmm yyyy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2A5A"/>
      <sz val="14"/>
    </font>
    <font>
      <i val="1"/>
      <color rgb="00666666"/>
    </font>
    <font>
      <color rgb="001F4FD1"/>
      <u val="single"/>
    </font>
    <font>
      <b val="1"/>
    </font>
    <font>
      <b val="1"/>
      <color rgb="001F2A5A"/>
      <sz val="18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7A7F8F"/>
      </patternFill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5" fillId="4" borderId="1" pivotButton="0" quotePrefix="0" xfId="0"/>
    <xf numFmtId="0" fontId="2" fillId="4" borderId="1" pivotButton="0" quotePrefix="0" xfId="0"/>
    <xf numFmtId="167" fontId="2" fillId="4" borderId="1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station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'Station'!$A$5:$A$11</f>
            </numRef>
          </cat>
          <val>
            <numRef>
              <f>'Station'!$B$5:$B$11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'Category'!$A$5:$A$10</f>
            </numRef>
          </cat>
          <val>
            <numRef>
              <f>'Category'!$B$5:$B$10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'Type'!B4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'Type'!$A$5:$A$18</f>
            </numRef>
          </cat>
          <val>
            <numRef>
              <f>'Type'!$B$5:$B$18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'Department'!B4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'Department'!$A$5:$A$9</f>
            </numRef>
          </cat>
          <val>
            <numRef>
              <f>'Department'!$B$5:$B$9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'Monthly'!$A$5:$A$13</f>
            </numRef>
          </cat>
          <val>
            <numRef>
              <f>'Monthly'!$B$5:$B$13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Closed vs not closed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'Dashboard'!$A$6:$A$7</f>
            </numRef>
          </cat>
          <val>
            <numRef>
              <f>'Dashboard'!$B$6:$B$7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19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46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35</row>
      <rowOff>0</rowOff>
    </from>
    <ext cx="468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35</row>
      <rowOff>0</rowOff>
    </from>
    <ext cx="468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#Log!A5" TargetMode="External" Id="rId1"/><Relationship Type="http://schemas.openxmlformats.org/officeDocument/2006/relationships/hyperlink" Target="#Log!A5" TargetMode="External" Id="rId2"/><Relationship Type="http://schemas.openxmlformats.org/officeDocument/2006/relationships/hyperlink" Target="#Log!A5" TargetMode="External" Id="rId3"/><Relationship Type="http://schemas.openxmlformats.org/officeDocument/2006/relationships/hyperlink" Target="#Log!A5" TargetMode="External" Id="rId4"/><Relationship Type="http://schemas.openxmlformats.org/officeDocument/2006/relationships/hyperlink" Target="#Log!A5" TargetMode="External" Id="rId5"/><Relationship Type="http://schemas.openxmlformats.org/officeDocument/2006/relationships/hyperlink" Target="#Log!A5" TargetMode="External" Id="rId6"/><Relationship Type="http://schemas.openxmlformats.org/officeDocument/2006/relationships/hyperlink" Target="#Log!A5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#Log!A5" TargetMode="External" Id="rId1"/><Relationship Type="http://schemas.openxmlformats.org/officeDocument/2006/relationships/hyperlink" Target="#Log!A5" TargetMode="External" Id="rId2"/><Relationship Type="http://schemas.openxmlformats.org/officeDocument/2006/relationships/hyperlink" Target="#Log!A5" TargetMode="External" Id="rId3"/><Relationship Type="http://schemas.openxmlformats.org/officeDocument/2006/relationships/hyperlink" Target="#Log!A5" TargetMode="External" Id="rId4"/><Relationship Type="http://schemas.openxmlformats.org/officeDocument/2006/relationships/hyperlink" Target="#Log!A5" TargetMode="External" Id="rId5"/><Relationship Type="http://schemas.openxmlformats.org/officeDocument/2006/relationships/hyperlink" Target="#Log!A5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Log!A5" TargetMode="External" Id="rId1"/><Relationship Type="http://schemas.openxmlformats.org/officeDocument/2006/relationships/hyperlink" Target="#Log!A5" TargetMode="External" Id="rId2"/><Relationship Type="http://schemas.openxmlformats.org/officeDocument/2006/relationships/hyperlink" Target="#Log!A5" TargetMode="External" Id="rId3"/><Relationship Type="http://schemas.openxmlformats.org/officeDocument/2006/relationships/hyperlink" Target="#Log!A5" TargetMode="External" Id="rId4"/><Relationship Type="http://schemas.openxmlformats.org/officeDocument/2006/relationships/hyperlink" Target="#Log!A5" TargetMode="External" Id="rId5"/><Relationship Type="http://schemas.openxmlformats.org/officeDocument/2006/relationships/hyperlink" Target="#Log!A5" TargetMode="External" Id="rId6"/><Relationship Type="http://schemas.openxmlformats.org/officeDocument/2006/relationships/hyperlink" Target="#Log!A5" TargetMode="External" Id="rId7"/><Relationship Type="http://schemas.openxmlformats.org/officeDocument/2006/relationships/hyperlink" Target="#Log!A5" TargetMode="External" Id="rId8"/><Relationship Type="http://schemas.openxmlformats.org/officeDocument/2006/relationships/hyperlink" Target="#Log!A5" TargetMode="External" Id="rId9"/><Relationship Type="http://schemas.openxmlformats.org/officeDocument/2006/relationships/hyperlink" Target="#Log!A5" TargetMode="External" Id="rId10"/><Relationship Type="http://schemas.openxmlformats.org/officeDocument/2006/relationships/hyperlink" Target="#Log!A5" TargetMode="External" Id="rId11"/><Relationship Type="http://schemas.openxmlformats.org/officeDocument/2006/relationships/hyperlink" Target="#Log!A5" TargetMode="External" Id="rId12"/><Relationship Type="http://schemas.openxmlformats.org/officeDocument/2006/relationships/hyperlink" Target="#Log!A5" TargetMode="External" Id="rId13"/><Relationship Type="http://schemas.openxmlformats.org/officeDocument/2006/relationships/hyperlink" Target="#Log!A5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#Log!A5" TargetMode="External" Id="rId1"/><Relationship Type="http://schemas.openxmlformats.org/officeDocument/2006/relationships/hyperlink" Target="#Log!A5" TargetMode="External" Id="rId2"/><Relationship Type="http://schemas.openxmlformats.org/officeDocument/2006/relationships/hyperlink" Target="#Log!A5" TargetMode="External" Id="rId3"/><Relationship Type="http://schemas.openxmlformats.org/officeDocument/2006/relationships/hyperlink" Target="#Log!A5" TargetMode="External" Id="rId4"/><Relationship Type="http://schemas.openxmlformats.org/officeDocument/2006/relationships/hyperlink" Target="#Log!A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Bird Safety Incident Dashboard</t>
        </is>
      </c>
    </row>
    <row r="2">
      <c r="A2" s="2" t="inlineStr">
        <is>
          <t>All figures are live formulas on the Log sheet.</t>
        </is>
      </c>
    </row>
    <row r="5">
      <c r="A5" s="3" t="inlineStr">
        <is>
          <t>Total incidents</t>
        </is>
      </c>
      <c r="B5" s="4">
        <f>COUNTA(Log!B5:B1000)</f>
        <v/>
      </c>
    </row>
    <row r="6">
      <c r="A6" s="3" t="inlineStr">
        <is>
          <t>Closed</t>
        </is>
      </c>
      <c r="B6" s="4">
        <f>COUNTIF(Log!$BF$5:$BF$1000,"Closed")</f>
        <v/>
      </c>
    </row>
    <row r="7">
      <c r="A7" s="3" t="inlineStr">
        <is>
          <t>Not closed</t>
        </is>
      </c>
      <c r="B7" s="4">
        <f>COUNTIF(Log!$BF$5:$BF$1000,"Not closed")</f>
        <v/>
      </c>
    </row>
    <row r="8">
      <c r="A8" s="3" t="inlineStr">
        <is>
          <t>Serious (A+B)</t>
        </is>
      </c>
      <c r="B8" s="4">
        <f>COUNTIF(Log!$BE$5:$BE$1000,"CAT-A")+COUNTIF(Log!$BE$5:$BE$1000,"CAT-B")</f>
        <v/>
      </c>
    </row>
    <row r="9">
      <c r="A9" s="3" t="inlineStr">
        <is>
          <t>Closure rate</t>
        </is>
      </c>
      <c r="B9" s="5">
        <f>IFERROR(B6/B5,0)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0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t="inlineStr">
        <is>
          <t>HO</t>
        </is>
      </c>
    </row>
    <row r="2">
      <c r="A2" t="inlineStr">
        <is>
          <t>Form Ref: SMS/F/06  |  Auto Serial No. activates when any data is entered  |  Use dropdowns for classification columns</t>
        </is>
      </c>
    </row>
    <row r="3">
      <c r="A3" t="inlineStr">
        <is>
          <t>PART-A  |  INCIDENT DETAILS</t>
        </is>
      </c>
      <c r="H3" t="inlineStr">
        <is>
          <t>PERSON INVOLVED</t>
        </is>
      </c>
      <c r="L3" t="inlineStr">
        <is>
          <t>REPORTING PERSON DETAILS</t>
        </is>
      </c>
      <c r="R3" t="inlineStr">
        <is>
          <t>INCIDENT BRIEF &amp; IMMEDIATE ACTION</t>
        </is>
      </c>
      <c r="T3" t="inlineStr">
        <is>
          <t>AIRCRAFT DETAILS</t>
        </is>
      </c>
      <c r="AA3" t="inlineStr">
        <is>
          <t>CLASSIFICATION</t>
        </is>
      </c>
      <c r="AD3" t="inlineStr">
        <is>
          <t>CONDITIONS AT TIME OF INCIDENT</t>
        </is>
      </c>
      <c r="AG3" t="inlineStr">
        <is>
          <t>PART-B  |  INVESTIGATION</t>
        </is>
      </c>
      <c r="AM3" t="inlineStr">
        <is>
          <t>NARRATIVE, ROOT CAUSE &amp; ACTIONS</t>
        </is>
      </c>
      <c r="AS3" t="inlineStr">
        <is>
          <t>INJURY &amp; DG DETAILS</t>
        </is>
      </c>
      <c r="AV3" t="inlineStr">
        <is>
          <t>GSE / EQUIPMENT DETAILS</t>
        </is>
      </c>
      <c r="BA3" t="inlineStr">
        <is>
          <t>STATUS</t>
        </is>
      </c>
    </row>
    <row r="4">
      <c r="A4" s="6" t="inlineStr">
        <is>
          <t>S.No.</t>
        </is>
      </c>
      <c r="B4" s="6" t="inlineStr">
        <is>
          <t>Incident Title</t>
        </is>
      </c>
      <c r="C4" s="6" t="inlineStr">
        <is>
          <t>GHR No.</t>
        </is>
      </c>
      <c r="D4" s="6" t="inlineStr">
        <is>
          <t>Date of Incident</t>
        </is>
      </c>
      <c r="E4" s="6" t="inlineStr">
        <is>
          <t>Reporting Date</t>
        </is>
      </c>
      <c r="F4" s="6" t="inlineStr">
        <is>
          <t>Time of Incident</t>
        </is>
      </c>
      <c r="G4" s="6" t="inlineStr">
        <is>
          <t>Location of Incident</t>
        </is>
      </c>
      <c r="H4" s="6" t="inlineStr">
        <is>
          <t>Person Involved</t>
        </is>
      </c>
      <c r="I4" s="6" t="inlineStr">
        <is>
          <t>Designation / Company</t>
        </is>
      </c>
      <c r="J4" s="6" t="inlineStr">
        <is>
          <t>Staff No.</t>
        </is>
      </c>
      <c r="K4" s="6" t="inlineStr">
        <is>
          <t>Contact No.</t>
        </is>
      </c>
      <c r="L4" s="6" t="inlineStr">
        <is>
          <t>Reporting Name</t>
        </is>
      </c>
      <c r="M4" s="6" t="inlineStr">
        <is>
          <t>Rpt. Desig./Company</t>
        </is>
      </c>
      <c r="N4" s="6" t="inlineStr">
        <is>
          <t>Incident Reported To</t>
        </is>
      </c>
      <c r="O4" s="6" t="inlineStr">
        <is>
          <t>Shift Timing</t>
        </is>
      </c>
      <c r="P4" s="6" t="inlineStr">
        <is>
          <t>Rpt. Person Involved?</t>
        </is>
      </c>
      <c r="Q4" s="6" t="inlineStr">
        <is>
          <t>Role / Detail</t>
        </is>
      </c>
      <c r="R4" s="6" t="inlineStr">
        <is>
          <t>Incident Brief</t>
        </is>
      </c>
      <c r="S4" s="6" t="inlineStr">
        <is>
          <t>Immediate Action Taken</t>
        </is>
      </c>
      <c r="T4" s="6" t="inlineStr">
        <is>
          <t>Flight No.</t>
        </is>
      </c>
      <c r="U4" s="6" t="inlineStr">
        <is>
          <t>A/C Type</t>
        </is>
      </c>
      <c r="V4" s="6" t="inlineStr">
        <is>
          <t>Routing</t>
        </is>
      </c>
      <c r="W4" s="6" t="inlineStr">
        <is>
          <t>A/C Registration</t>
        </is>
      </c>
      <c r="X4" s="6" t="inlineStr">
        <is>
          <t>ATA (LT)</t>
        </is>
      </c>
      <c r="Y4" s="6" t="inlineStr">
        <is>
          <t>ATD (LT)</t>
        </is>
      </c>
      <c r="Z4" s="6" t="inlineStr">
        <is>
          <t>Delay Code / Diverted</t>
        </is>
      </c>
      <c r="AA4" s="6" t="inlineStr">
        <is>
          <t>Department Involved</t>
        </is>
      </c>
      <c r="AB4" s="6" t="inlineStr">
        <is>
          <t>Operational Phase</t>
        </is>
      </c>
      <c r="AC4" s="6" t="inlineStr">
        <is>
          <t>Incident Type</t>
        </is>
      </c>
      <c r="AD4" s="6" t="inlineStr">
        <is>
          <t>Weather</t>
        </is>
      </c>
      <c r="AE4" s="6" t="inlineStr">
        <is>
          <t>Surface Condition</t>
        </is>
      </c>
      <c r="AF4" s="6" t="inlineStr">
        <is>
          <t>Lighting</t>
        </is>
      </c>
      <c r="AG4" s="6" t="inlineStr">
        <is>
          <t>Incident Category</t>
        </is>
      </c>
      <c r="AH4" s="6" t="inlineStr">
        <is>
          <t>Hazard Identified</t>
        </is>
      </c>
      <c r="AI4" s="6" t="inlineStr">
        <is>
          <t>Investigated By</t>
        </is>
      </c>
      <c r="AJ4" s="6" t="inlineStr">
        <is>
          <t>Investigation Date</t>
        </is>
      </c>
      <c r="AK4" s="6" t="inlineStr">
        <is>
          <t>Contributing Factor Cat.</t>
        </is>
      </c>
      <c r="AL4" s="6" t="inlineStr">
        <is>
          <t>Contributing Factor</t>
        </is>
      </c>
      <c r="AM4" s="6" t="inlineStr">
        <is>
          <t>Root Cause</t>
        </is>
      </c>
      <c r="AN4" s="6" t="inlineStr">
        <is>
          <t>Corrective Action</t>
        </is>
      </c>
      <c r="AO4" s="6" t="inlineStr">
        <is>
          <t>Preventive Action</t>
        </is>
      </c>
      <c r="AP4" s="6" t="inlineStr">
        <is>
          <t>Action By</t>
        </is>
      </c>
      <c r="AQ4" s="6" t="inlineStr">
        <is>
          <t>Action Date</t>
        </is>
      </c>
      <c r="AR4" s="6" t="inlineStr">
        <is>
          <t>Investigation Closure</t>
        </is>
      </c>
      <c r="AS4" s="6" t="inlineStr">
        <is>
          <t>Injured Person Name</t>
        </is>
      </c>
      <c r="AT4" s="6" t="inlineStr">
        <is>
          <t>Injury Type</t>
        </is>
      </c>
      <c r="AU4" s="6" t="inlineStr">
        <is>
          <t>DG Details (if any)</t>
        </is>
      </c>
      <c r="AV4" s="6" t="inlineStr">
        <is>
          <t>GSE / Equipment Type</t>
        </is>
      </c>
      <c r="AW4" s="6" t="inlineStr">
        <is>
          <t>Equipment No.</t>
        </is>
      </c>
      <c r="AX4" s="6" t="inlineStr">
        <is>
          <t>Equipment Owner</t>
        </is>
      </c>
      <c r="AY4" s="6" t="inlineStr">
        <is>
          <t>Correct Equip. Used?</t>
        </is>
      </c>
      <c r="AZ4" s="6" t="inlineStr">
        <is>
          <t>Equipment Damage</t>
        </is>
      </c>
      <c r="BA4" s="6" t="inlineStr">
        <is>
          <t>Status</t>
        </is>
      </c>
      <c r="BB4" s="6" t="inlineStr">
        <is>
          <t>Station</t>
        </is>
      </c>
      <c r="BD4" s="7" t="inlineStr">
        <is>
          <t>H_Station</t>
        </is>
      </c>
      <c r="BE4" s="7" t="inlineStr">
        <is>
          <t>H_Category</t>
        </is>
      </c>
      <c r="BF4" s="7" t="inlineStr">
        <is>
          <t>H_Status</t>
        </is>
      </c>
      <c r="BG4" s="7" t="inlineStr">
        <is>
          <t>H_Type1</t>
        </is>
      </c>
      <c r="BH4" s="7" t="inlineStr">
        <is>
          <t>H_Type2</t>
        </is>
      </c>
      <c r="BI4" s="7" t="inlineStr">
        <is>
          <t>H_Dept1</t>
        </is>
      </c>
      <c r="BJ4" s="7" t="inlineStr">
        <is>
          <t>H_Dept2</t>
        </is>
      </c>
      <c r="BK4" s="7" t="inlineStr">
        <is>
          <t>H_Month</t>
        </is>
      </c>
    </row>
    <row r="5">
      <c r="D5" s="8"/>
      <c r="E5" s="8"/>
      <c r="AJ5" s="8"/>
      <c r="AQ5" s="8"/>
      <c r="BK5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</cols>
  <sheetData>
    <row r="1">
      <c r="A1" s="11" t="inlineStr">
        <is>
          <t>Incidents by station</t>
        </is>
      </c>
    </row>
    <row r="2">
      <c r="A2" s="2" t="inlineStr">
        <is>
          <t>Counts are formulas on the Log sheet. Click a name to jump to its first incident.</t>
        </is>
      </c>
    </row>
    <row r="4">
      <c r="A4" s="12" t="inlineStr">
        <is>
          <t>Item</t>
        </is>
      </c>
      <c r="B4" s="12" t="inlineStr">
        <is>
          <t>Incidents</t>
        </is>
      </c>
      <c r="C4" s="12" t="inlineStr">
        <is>
          <t>% of incidents</t>
        </is>
      </c>
    </row>
    <row r="5">
      <c r="A5" s="13" t="inlineStr">
        <is>
          <t>DEL</t>
        </is>
      </c>
      <c r="B5" s="14">
        <f>COUNTIF(Log!$BD$5:$BD$1000,A5)</f>
        <v/>
      </c>
      <c r="C5" s="15">
        <f>IFERROR(B5/Dashboard!$B$5,0)</f>
        <v/>
      </c>
      <c r="D5" s="13">
        <f>IFERROR(HYPERLINK("#Log!A"&amp;(MATCH(A5,Log!$BD$5:$BD$1000,0)+4),"Open in log"),"")</f>
        <v/>
      </c>
    </row>
    <row r="6">
      <c r="A6" s="13" t="inlineStr">
        <is>
          <t>TRV</t>
        </is>
      </c>
      <c r="B6" s="14">
        <f>COUNTIF(Log!$BD$5:$BD$1000,A6)</f>
        <v/>
      </c>
      <c r="C6" s="15">
        <f>IFERROR(B6/Dashboard!$B$5,0)</f>
        <v/>
      </c>
      <c r="D6" s="13">
        <f>IFERROR(HYPERLINK("#Log!A"&amp;(MATCH(A6,Log!$BD$5:$BD$1000,0)+4),"Open in log"),"")</f>
        <v/>
      </c>
    </row>
    <row r="7">
      <c r="A7" s="13" t="inlineStr">
        <is>
          <t>BLR</t>
        </is>
      </c>
      <c r="B7" s="14">
        <f>COUNTIF(Log!$BD$5:$BD$1000,A7)</f>
        <v/>
      </c>
      <c r="C7" s="15">
        <f>IFERROR(B7/Dashboard!$B$5,0)</f>
        <v/>
      </c>
      <c r="D7" s="13">
        <f>IFERROR(HYPERLINK("#Log!A"&amp;(MATCH(A7,Log!$BD$5:$BD$1000,0)+4),"Open in log"),"")</f>
        <v/>
      </c>
    </row>
    <row r="8">
      <c r="A8" s="13" t="inlineStr">
        <is>
          <t>COK</t>
        </is>
      </c>
      <c r="B8" s="14">
        <f>COUNTIF(Log!$BD$5:$BD$1000,A8)</f>
        <v/>
      </c>
      <c r="C8" s="15">
        <f>IFERROR(B8/Dashboard!$B$5,0)</f>
        <v/>
      </c>
      <c r="D8" s="13">
        <f>IFERROR(HYPERLINK("#Log!A"&amp;(MATCH(A8,Log!$BD$5:$BD$1000,0)+4),"Open in log"),"")</f>
        <v/>
      </c>
    </row>
    <row r="9">
      <c r="A9" s="13" t="inlineStr">
        <is>
          <t>MAA</t>
        </is>
      </c>
      <c r="B9" s="14">
        <f>COUNTIF(Log!$BD$5:$BD$1000,A9)</f>
        <v/>
      </c>
      <c r="C9" s="15">
        <f>IFERROR(B9/Dashboard!$B$5,0)</f>
        <v/>
      </c>
      <c r="D9" s="13">
        <f>IFERROR(HYPERLINK("#Log!A"&amp;(MATCH(A9,Log!$BD$5:$BD$1000,0)+4),"Open in log"),"")</f>
        <v/>
      </c>
    </row>
    <row r="10">
      <c r="A10" s="13" t="inlineStr">
        <is>
          <t>HYD</t>
        </is>
      </c>
      <c r="B10" s="14">
        <f>COUNTIF(Log!$BD$5:$BD$1000,A10)</f>
        <v/>
      </c>
      <c r="C10" s="15">
        <f>IFERROR(B10/Dashboard!$B$5,0)</f>
        <v/>
      </c>
      <c r="D10" s="13">
        <f>IFERROR(HYPERLINK("#Log!A"&amp;(MATCH(A10,Log!$BD$5:$BD$1000,0)+4),"Open in log"),"")</f>
        <v/>
      </c>
    </row>
    <row r="11">
      <c r="A11" s="13" t="inlineStr">
        <is>
          <t>Unknown</t>
        </is>
      </c>
      <c r="B11" s="14">
        <f>COUNTIF(Log!$BD$5:$BD$1000,A11)</f>
        <v/>
      </c>
      <c r="C11" s="15">
        <f>IFERROR(B11/Dashboard!$B$5,0)</f>
        <v/>
      </c>
      <c r="D11" s="13">
        <f>IFERROR(HYPERLINK("#Log!A"&amp;(MATCH(A11,Log!$BD$5:$BD$1000,0)+4),"Open in log"),"")</f>
        <v/>
      </c>
    </row>
    <row r="12">
      <c r="A12" s="16" t="inlineStr">
        <is>
          <t>Total</t>
        </is>
      </c>
      <c r="B12" s="16">
        <f>SUM(B5:B11)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</cols>
  <sheetData>
    <row r="1">
      <c r="A1" s="11" t="inlineStr">
        <is>
          <t>Incidents by category</t>
        </is>
      </c>
    </row>
    <row r="2">
      <c r="A2" s="2" t="inlineStr">
        <is>
          <t>Counts are formulas on the Log sheet. Click a name to jump to its first incident.</t>
        </is>
      </c>
    </row>
    <row r="4">
      <c r="A4" s="12" t="inlineStr">
        <is>
          <t>Item</t>
        </is>
      </c>
      <c r="B4" s="12" t="inlineStr">
        <is>
          <t>Incidents</t>
        </is>
      </c>
      <c r="C4" s="12" t="inlineStr">
        <is>
          <t>% of incidents</t>
        </is>
      </c>
    </row>
    <row r="5">
      <c r="A5" s="13" t="inlineStr">
        <is>
          <t>CAT-A</t>
        </is>
      </c>
      <c r="B5" s="14">
        <f>COUNTIF(Log!$BE$5:$BE$1000,A5)</f>
        <v/>
      </c>
      <c r="C5" s="15">
        <f>IFERROR(B5/Dashboard!$B$5,0)</f>
        <v/>
      </c>
      <c r="D5" s="13">
        <f>IFERROR(HYPERLINK("#Log!A"&amp;(MATCH(A5,Log!$BE$5:$BE$1000,0)+4),"Open in log"),"")</f>
        <v/>
      </c>
    </row>
    <row r="6">
      <c r="A6" s="13" t="inlineStr">
        <is>
          <t>CAT-B</t>
        </is>
      </c>
      <c r="B6" s="14">
        <f>COUNTIF(Log!$BE$5:$BE$1000,A6)</f>
        <v/>
      </c>
      <c r="C6" s="15">
        <f>IFERROR(B6/Dashboard!$B$5,0)</f>
        <v/>
      </c>
      <c r="D6" s="13">
        <f>IFERROR(HYPERLINK("#Log!A"&amp;(MATCH(A6,Log!$BE$5:$BE$1000,0)+4),"Open in log"),"")</f>
        <v/>
      </c>
    </row>
    <row r="7">
      <c r="A7" s="13" t="inlineStr">
        <is>
          <t>CAT-C</t>
        </is>
      </c>
      <c r="B7" s="14">
        <f>COUNTIF(Log!$BE$5:$BE$1000,A7)</f>
        <v/>
      </c>
      <c r="C7" s="15">
        <f>IFERROR(B7/Dashboard!$B$5,0)</f>
        <v/>
      </c>
      <c r="D7" s="13">
        <f>IFERROR(HYPERLINK("#Log!A"&amp;(MATCH(A7,Log!$BE$5:$BE$1000,0)+4),"Open in log"),"")</f>
        <v/>
      </c>
    </row>
    <row r="8">
      <c r="A8" s="13" t="inlineStr">
        <is>
          <t>CAT-D</t>
        </is>
      </c>
      <c r="B8" s="14">
        <f>COUNTIF(Log!$BE$5:$BE$1000,A8)</f>
        <v/>
      </c>
      <c r="C8" s="15">
        <f>IFERROR(B8/Dashboard!$B$5,0)</f>
        <v/>
      </c>
      <c r="D8" s="13">
        <f>IFERROR(HYPERLINK("#Log!A"&amp;(MATCH(A8,Log!$BE$5:$BE$1000,0)+4),"Open in log"),"")</f>
        <v/>
      </c>
    </row>
    <row r="9">
      <c r="A9" s="13" t="inlineStr">
        <is>
          <t>NIL</t>
        </is>
      </c>
      <c r="B9" s="14">
        <f>COUNTIF(Log!$BE$5:$BE$1000,A9)</f>
        <v/>
      </c>
      <c r="C9" s="15">
        <f>IFERROR(B9/Dashboard!$B$5,0)</f>
        <v/>
      </c>
      <c r="D9" s="13">
        <f>IFERROR(HYPERLINK("#Log!A"&amp;(MATCH(A9,Log!$BE$5:$BE$1000,0)+4),"Open in log"),"")</f>
        <v/>
      </c>
    </row>
    <row r="10">
      <c r="A10" s="13" t="inlineStr">
        <is>
          <t>Not set</t>
        </is>
      </c>
      <c r="B10" s="14">
        <f>COUNTIF(Log!$BE$5:$BE$1000,A10)</f>
        <v/>
      </c>
      <c r="C10" s="15">
        <f>IFERROR(B10/Dashboard!$B$5,0)</f>
        <v/>
      </c>
      <c r="D10" s="13">
        <f>IFERROR(HYPERLINK("#Log!A"&amp;(MATCH(A10,Log!$BE$5:$BE$1000,0)+4),"Open in log"),"")</f>
        <v/>
      </c>
    </row>
    <row r="11">
      <c r="A11" s="16" t="inlineStr">
        <is>
          <t>Total</t>
        </is>
      </c>
      <c r="B11" s="16">
        <f>SUM(B5:B10)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</cols>
  <sheetData>
    <row r="1">
      <c r="A1" s="11" t="inlineStr">
        <is>
          <t>Incidents by type (an incident can have 2 types)</t>
        </is>
      </c>
    </row>
    <row r="2">
      <c r="A2" s="2" t="inlineStr">
        <is>
          <t>Counts are formulas on the Log sheet. Click a name to jump to its first incident.</t>
        </is>
      </c>
    </row>
    <row r="4">
      <c r="A4" s="12" t="inlineStr">
        <is>
          <t>Item</t>
        </is>
      </c>
      <c r="B4" s="12" t="inlineStr">
        <is>
          <t>Incidents</t>
        </is>
      </c>
      <c r="C4" s="12" t="inlineStr">
        <is>
          <t>% of incidents</t>
        </is>
      </c>
    </row>
    <row r="5">
      <c r="A5" s="13" t="inlineStr">
        <is>
          <t>GSE Damage</t>
        </is>
      </c>
      <c r="B5" s="14">
        <f>COUNTIF(Log!$BG$5:$BG$1000,A5)+COUNTIF(Log!$BH$5:$BH$1000,A5)</f>
        <v/>
      </c>
      <c r="C5" s="15">
        <f>IFERROR(B5/Dashboard!$B$5,0)</f>
        <v/>
      </c>
      <c r="D5" s="13">
        <f>IFERROR(HYPERLINK("#Log!A"&amp;(MATCH(A5,Log!$BG$5:$BG$1000,0)+4),"Open in log"),"")</f>
        <v/>
      </c>
    </row>
    <row r="6">
      <c r="A6" s="13" t="inlineStr">
        <is>
          <t>Collision/Impact</t>
        </is>
      </c>
      <c r="B6" s="14">
        <f>COUNTIF(Log!$BG$5:$BG$1000,A6)+COUNTIF(Log!$BH$5:$BH$1000,A6)</f>
        <v/>
      </c>
      <c r="C6" s="15">
        <f>IFERROR(B6/Dashboard!$B$5,0)</f>
        <v/>
      </c>
      <c r="D6" s="13">
        <f>IFERROR(HYPERLINK("#Log!A"&amp;(MATCH(A6,Log!$BG$5:$BG$1000,0)+4),"Open in log"),"")</f>
        <v/>
      </c>
    </row>
    <row r="7">
      <c r="A7" s="13" t="inlineStr">
        <is>
          <t>Staff Injury</t>
        </is>
      </c>
      <c r="B7" s="14">
        <f>COUNTIF(Log!$BG$5:$BG$1000,A7)+COUNTIF(Log!$BH$5:$BH$1000,A7)</f>
        <v/>
      </c>
      <c r="C7" s="15">
        <f>IFERROR(B7/Dashboard!$B$5,0)</f>
        <v/>
      </c>
      <c r="D7" s="13">
        <f>IFERROR(HYPERLINK("#Log!A"&amp;(MATCH(A7,Log!$BG$5:$BG$1000,0)+4),"Open in log"),"")</f>
        <v/>
      </c>
    </row>
    <row r="8">
      <c r="A8" s="13" t="inlineStr">
        <is>
          <t>Near Miss</t>
        </is>
      </c>
      <c r="B8" s="14">
        <f>COUNTIF(Log!$BG$5:$BG$1000,A8)+COUNTIF(Log!$BH$5:$BH$1000,A8)</f>
        <v/>
      </c>
      <c r="C8" s="15">
        <f>IFERROR(B8/Dashboard!$B$5,0)</f>
        <v/>
      </c>
      <c r="D8" s="13">
        <f>IFERROR(HYPERLINK("#Log!A"&amp;(MATCH(A8,Log!$BG$5:$BG$1000,0)+4),"Open in log"),"")</f>
        <v/>
      </c>
    </row>
    <row r="9">
      <c r="A9" s="13" t="inlineStr">
        <is>
          <t>Dropped Unit/Load</t>
        </is>
      </c>
      <c r="B9" s="14">
        <f>COUNTIF(Log!$BG$5:$BG$1000,A9)+COUNTIF(Log!$BH$5:$BH$1000,A9)</f>
        <v/>
      </c>
      <c r="C9" s="15">
        <f>IFERROR(B9/Dashboard!$B$5,0)</f>
        <v/>
      </c>
      <c r="D9" s="13">
        <f>IFERROR(HYPERLINK("#Log!A"&amp;(MATCH(A9,Log!$BG$5:$BG$1000,0)+4),"Open in log"),"")</f>
        <v/>
      </c>
    </row>
    <row r="10">
      <c r="A10" s="13" t="inlineStr">
        <is>
          <t>ULD Handling</t>
        </is>
      </c>
      <c r="B10" s="14">
        <f>COUNTIF(Log!$BG$5:$BG$1000,A10)+COUNTIF(Log!$BH$5:$BH$1000,A10)</f>
        <v/>
      </c>
      <c r="C10" s="15">
        <f>IFERROR(B10/Dashboard!$B$5,0)</f>
        <v/>
      </c>
      <c r="D10" s="13">
        <f>IFERROR(HYPERLINK("#Log!A"&amp;(MATCH(A10,Log!$BG$5:$BG$1000,0)+4),"Open in log"),"")</f>
        <v/>
      </c>
    </row>
    <row r="11">
      <c r="A11" s="13" t="inlineStr">
        <is>
          <t>A/C Damage</t>
        </is>
      </c>
      <c r="B11" s="14">
        <f>COUNTIF(Log!$BG$5:$BG$1000,A11)+COUNTIF(Log!$BH$5:$BH$1000,A11)</f>
        <v/>
      </c>
      <c r="C11" s="15">
        <f>IFERROR(B11/Dashboard!$B$5,0)</f>
        <v/>
      </c>
      <c r="D11" s="13">
        <f>IFERROR(HYPERLINK("#Log!A"&amp;(MATCH(A11,Log!$BG$5:$BG$1000,0)+4),"Open in log"),"")</f>
        <v/>
      </c>
    </row>
    <row r="12">
      <c r="A12" s="13" t="inlineStr">
        <is>
          <t>Non-compliance</t>
        </is>
      </c>
      <c r="B12" s="14">
        <f>COUNTIF(Log!$BG$5:$BG$1000,A12)+COUNTIF(Log!$BH$5:$BH$1000,A12)</f>
        <v/>
      </c>
      <c r="C12" s="15">
        <f>IFERROR(B12/Dashboard!$B$5,0)</f>
        <v/>
      </c>
      <c r="D12" s="13">
        <f>IFERROR(HYPERLINK("#Log!A"&amp;(MATCH(A12,Log!$BG$5:$BG$1000,0)+4),"Open in log"),"")</f>
        <v/>
      </c>
    </row>
    <row r="13">
      <c r="A13" s="13" t="inlineStr">
        <is>
          <t>Slip/Trip</t>
        </is>
      </c>
      <c r="B13" s="14">
        <f>COUNTIF(Log!$BG$5:$BG$1000,A13)+COUNTIF(Log!$BH$5:$BH$1000,A13)</f>
        <v/>
      </c>
      <c r="C13" s="15">
        <f>IFERROR(B13/Dashboard!$B$5,0)</f>
        <v/>
      </c>
      <c r="D13" s="13">
        <f>IFERROR(HYPERLINK("#Log!A"&amp;(MATCH(A13,Log!$BG$5:$BG$1000,0)+4),"Open in log"),"")</f>
        <v/>
      </c>
    </row>
    <row r="14">
      <c r="A14" s="13" t="inlineStr">
        <is>
          <t>Fire</t>
        </is>
      </c>
      <c r="B14" s="14">
        <f>COUNTIF(Log!$BG$5:$BG$1000,A14)+COUNTIF(Log!$BH$5:$BH$1000,A14)</f>
        <v/>
      </c>
      <c r="C14" s="15">
        <f>IFERROR(B14/Dashboard!$B$5,0)</f>
        <v/>
      </c>
      <c r="D14" s="13">
        <f>IFERROR(HYPERLINK("#Log!A"&amp;(MATCH(A14,Log!$BG$5:$BG$1000,0)+4),"Open in log"),"")</f>
        <v/>
      </c>
    </row>
    <row r="15">
      <c r="A15" s="13" t="inlineStr">
        <is>
          <t>Other</t>
        </is>
      </c>
      <c r="B15" s="14">
        <f>COUNTIF(Log!$BG$5:$BG$1000,A15)+COUNTIF(Log!$BH$5:$BH$1000,A15)</f>
        <v/>
      </c>
      <c r="C15" s="15">
        <f>IFERROR(B15/Dashboard!$B$5,0)</f>
        <v/>
      </c>
      <c r="D15" s="13">
        <f>IFERROR(HYPERLINK("#Log!A"&amp;(MATCH(A15,Log!$BG$5:$BG$1000,0)+4),"Open in log"),"")</f>
        <v/>
      </c>
    </row>
    <row r="16">
      <c r="A16" s="13" t="inlineStr">
        <is>
          <t>Other Agency GSE Damage</t>
        </is>
      </c>
      <c r="B16" s="14">
        <f>COUNTIF(Log!$BG$5:$BG$1000,A16)+COUNTIF(Log!$BH$5:$BH$1000,A16)</f>
        <v/>
      </c>
      <c r="C16" s="15">
        <f>IFERROR(B16/Dashboard!$B$5,0)</f>
        <v/>
      </c>
      <c r="D16" s="13">
        <f>IFERROR(HYPERLINK("#Log!A"&amp;(MATCH(A16,Log!$BG$5:$BG$1000,0)+4),"Open in log"),"")</f>
        <v/>
      </c>
    </row>
    <row r="17">
      <c r="A17" s="13" t="inlineStr">
        <is>
          <t>Spillage</t>
        </is>
      </c>
      <c r="B17" s="14">
        <f>COUNTIF(Log!$BG$5:$BG$1000,A17)+COUNTIF(Log!$BH$5:$BH$1000,A17)</f>
        <v/>
      </c>
      <c r="C17" s="15">
        <f>IFERROR(B17/Dashboard!$B$5,0)</f>
        <v/>
      </c>
      <c r="D17" s="13">
        <f>IFERROR(HYPERLINK("#Log!A"&amp;(MATCH(A17,Log!$BG$5:$BG$1000,0)+4),"Open in log"),"")</f>
        <v/>
      </c>
    </row>
    <row r="18">
      <c r="A18" s="13" t="inlineStr">
        <is>
          <t>Not set</t>
        </is>
      </c>
      <c r="B18" s="14">
        <f>COUNTIF(Log!$BG$5:$BG$1000,A18)+COUNTIF(Log!$BH$5:$BH$1000,A18)</f>
        <v/>
      </c>
      <c r="C18" s="15">
        <f>IFERROR(B18/Dashboard!$B$5,0)</f>
        <v/>
      </c>
      <c r="D18" s="13">
        <f>IFERROR(HYPERLINK("#Log!A"&amp;(MATCH(A18,Log!$BG$5:$BG$1000,0)+4),"Open in log"),"")</f>
        <v/>
      </c>
    </row>
    <row r="19">
      <c r="A19" s="16" t="inlineStr">
        <is>
          <t>Total</t>
        </is>
      </c>
      <c r="B19" s="16">
        <f>SUM(B5:B18)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</cols>
  <sheetData>
    <row r="1">
      <c r="A1" s="11" t="inlineStr">
        <is>
          <t>Incidents by department (an incident can have 2)</t>
        </is>
      </c>
    </row>
    <row r="2">
      <c r="A2" s="2" t="inlineStr">
        <is>
          <t>Counts are formulas on the Log sheet. Click a name to jump to its first incident.</t>
        </is>
      </c>
    </row>
    <row r="4">
      <c r="A4" s="12" t="inlineStr">
        <is>
          <t>Item</t>
        </is>
      </c>
      <c r="B4" s="12" t="inlineStr">
        <is>
          <t>Incidents</t>
        </is>
      </c>
      <c r="C4" s="12" t="inlineStr">
        <is>
          <t>% of incidents</t>
        </is>
      </c>
    </row>
    <row r="5">
      <c r="A5" s="13" t="inlineStr">
        <is>
          <t>RAMP</t>
        </is>
      </c>
      <c r="B5" s="14">
        <f>COUNTIF(Log!$BI$5:$BI$1000,A5)+COUNTIF(Log!$BJ$5:$BJ$1000,A5)</f>
        <v/>
      </c>
      <c r="C5" s="15">
        <f>IFERROR(B5/Dashboard!$B$5,0)</f>
        <v/>
      </c>
      <c r="D5" s="13">
        <f>IFERROR(HYPERLINK("#Log!A"&amp;(MATCH(A5,Log!$BI$5:$BI$1000,0)+4),"Open in log"),"")</f>
        <v/>
      </c>
    </row>
    <row r="6">
      <c r="A6" s="13" t="inlineStr">
        <is>
          <t>GSD</t>
        </is>
      </c>
      <c r="B6" s="14">
        <f>COUNTIF(Log!$BI$5:$BI$1000,A6)+COUNTIF(Log!$BJ$5:$BJ$1000,A6)</f>
        <v/>
      </c>
      <c r="C6" s="15">
        <f>IFERROR(B6/Dashboard!$B$5,0)</f>
        <v/>
      </c>
      <c r="D6" s="13">
        <f>IFERROR(HYPERLINK("#Log!A"&amp;(MATCH(A6,Log!$BI$5:$BI$1000,0)+4),"Open in log"),"")</f>
        <v/>
      </c>
    </row>
    <row r="7">
      <c r="A7" s="13" t="inlineStr">
        <is>
          <t>GSE Maintenance</t>
        </is>
      </c>
      <c r="B7" s="14">
        <f>COUNTIF(Log!$BI$5:$BI$1000,A7)+COUNTIF(Log!$BJ$5:$BJ$1000,A7)</f>
        <v/>
      </c>
      <c r="C7" s="15">
        <f>IFERROR(B7/Dashboard!$B$5,0)</f>
        <v/>
      </c>
      <c r="D7" s="13">
        <f>IFERROR(HYPERLINK("#Log!A"&amp;(MATCH(A7,Log!$BI$5:$BI$1000,0)+4),"Open in log"),"")</f>
        <v/>
      </c>
    </row>
    <row r="8">
      <c r="A8" s="13" t="inlineStr">
        <is>
          <t>PAX</t>
        </is>
      </c>
      <c r="B8" s="14">
        <f>COUNTIF(Log!$BI$5:$BI$1000,A8)+COUNTIF(Log!$BJ$5:$BJ$1000,A8)</f>
        <v/>
      </c>
      <c r="C8" s="15">
        <f>IFERROR(B8/Dashboard!$B$5,0)</f>
        <v/>
      </c>
      <c r="D8" s="13">
        <f>IFERROR(HYPERLINK("#Log!A"&amp;(MATCH(A8,Log!$BI$5:$BI$1000,0)+4),"Open in log"),"")</f>
        <v/>
      </c>
    </row>
    <row r="9">
      <c r="A9" s="13" t="inlineStr">
        <is>
          <t>NSOP</t>
        </is>
      </c>
      <c r="B9" s="14">
        <f>COUNTIF(Log!$BI$5:$BI$1000,A9)+COUNTIF(Log!$BJ$5:$BJ$1000,A9)</f>
        <v/>
      </c>
      <c r="C9" s="15">
        <f>IFERROR(B9/Dashboard!$B$5,0)</f>
        <v/>
      </c>
      <c r="D9" s="13">
        <f>IFERROR(HYPERLINK("#Log!A"&amp;(MATCH(A9,Log!$BI$5:$BI$1000,0)+4),"Open in log"),"")</f>
        <v/>
      </c>
    </row>
    <row r="10">
      <c r="A10" s="16" t="inlineStr">
        <is>
          <t>Total</t>
        </is>
      </c>
      <c r="B10" s="16">
        <f>SUM(B5:B9)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1" t="inlineStr">
        <is>
          <t>Incidents by month</t>
        </is>
      </c>
    </row>
    <row r="4">
      <c r="A4" s="12" t="inlineStr">
        <is>
          <t>Month</t>
        </is>
      </c>
      <c r="B4" s="12" t="inlineStr">
        <is>
          <t>Incidents</t>
        </is>
      </c>
    </row>
    <row r="5">
      <c r="A5" s="9" t="n">
        <v>46023</v>
      </c>
      <c r="B5">
        <f>COUNTIF(Log!$BK$5:$BK$1000,A5)</f>
        <v/>
      </c>
    </row>
    <row r="6">
      <c r="A6" s="9" t="n">
        <v>46054</v>
      </c>
      <c r="B6">
        <f>COUNTIF(Log!$BK$5:$BK$1000,A6)</f>
        <v/>
      </c>
    </row>
    <row r="7">
      <c r="A7" s="9" t="n">
        <v>46082</v>
      </c>
      <c r="B7">
        <f>COUNTIF(Log!$BK$5:$BK$1000,A7)</f>
        <v/>
      </c>
    </row>
    <row r="8">
      <c r="A8" s="9" t="n">
        <v>46113</v>
      </c>
      <c r="B8">
        <f>COUNTIF(Log!$BK$5:$BK$1000,A8)</f>
        <v/>
      </c>
    </row>
    <row r="9">
      <c r="A9" s="9" t="n">
        <v>46143</v>
      </c>
      <c r="B9">
        <f>COUNTIF(Log!$BK$5:$BK$1000,A9)</f>
        <v/>
      </c>
    </row>
    <row r="10">
      <c r="A10" s="9" t="n">
        <v>46174</v>
      </c>
      <c r="B10">
        <f>COUNTIF(Log!$BK$5:$BK$1000,A10)</f>
        <v/>
      </c>
    </row>
    <row r="11">
      <c r="A11" s="9" t="n">
        <v>46204</v>
      </c>
      <c r="B11">
        <f>COUNTIF(Log!$BK$5:$BK$1000,A11)</f>
        <v/>
      </c>
    </row>
    <row r="12">
      <c r="A12" s="9" t="n">
        <v>46235</v>
      </c>
      <c r="B12">
        <f>COUNTIF(Log!$BK$5:$BK$1000,A12)</f>
        <v/>
      </c>
    </row>
    <row r="13">
      <c r="A13" s="9" t="n">
        <v>46266</v>
      </c>
      <c r="B13">
        <f>COUNTIF(Log!$BK$5:$BK$1000,A13)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2026-10-15T08:39:56Z</dcterms:created>
  <dcterms:modified xmlns:dcterms="http://purl.org/dc/terms/" xmlns:xsi="http://www.w3.org/2001/XMLSchema-instance" xsi:type="dcterms:W3CDTF">2026-10-15T08:39:56Z</dcterms:modified>
</cp:coreProperties>
</file>